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alc" sheetId="3" state="visible" r:id="rId3"/>
  </sheets>
  <definedNames>
    <definedName name="_xlnm._FilterDatabase" localSheetId="0" hidden="1">'Results'!$A$1:$D$4</definedName>
    <definedName name="_xlnm._FilterDatabase" localSheetId="1" hidden="1">'Detail'!$A$1:$C$4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3F6F8"/>
      </patternFill>
    </fill>
    <fill>
      <patternFill patternType="solid">
        <fgColor rgb="00DCE8F2"/>
      </patternFill>
    </fill>
  </fills>
  <borders count="2">
    <border>
      <left/>
      <right/>
      <top/>
      <bottom/>
      <diagonal/>
    </border>
    <border>
      <bottom style="thin">
        <color rgb="00CC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2" customWidth="1" min="3" max="3"/>
    <col width="78" customWidth="1" min="4" max="4"/>
  </cols>
  <sheetData>
    <row r="1" ht="32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>
      <c r="A2" s="2" t="inlineStr">
        <is>
          <t>Plan A principal balance</t>
        </is>
      </c>
      <c r="B2" s="3" t="n">
        <v>13100</v>
      </c>
      <c r="C2" s="2" t="inlineStr">
        <is>
          <t>USD</t>
        </is>
      </c>
      <c r="D2" s="2" t="inlineStr">
        <is>
          <t>Records.pdf p.3, Finance forecast, Plan A; see Calc for reconciliation and source detail.</t>
        </is>
      </c>
    </row>
    <row r="3">
      <c r="A3" s="4" t="inlineStr">
        <is>
          <t>Plan B principal balance</t>
        </is>
      </c>
      <c r="B3" s="5" t="n">
        <v>17850</v>
      </c>
      <c r="C3" s="4" t="inlineStr">
        <is>
          <t>USD</t>
        </is>
      </c>
      <c r="D3" s="4" t="inlineStr">
        <is>
          <t>Records.pdf p.3, Finance forecast, Plan B; see Calc for reconciliation and source detail.</t>
        </is>
      </c>
    </row>
    <row r="4">
      <c r="A4" s="2" t="inlineStr">
        <is>
          <t>Plan C principal balance</t>
        </is>
      </c>
      <c r="B4" s="3" t="n">
        <v>16850</v>
      </c>
      <c r="C4" s="2" t="inlineStr">
        <is>
          <t>USD</t>
        </is>
      </c>
      <c r="D4" s="2" t="inlineStr">
        <is>
          <t>Records.pdf p.3, Finance forecast, Plan C; see Calc for reconciliation and source detail.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 ht="32" customHeight="1">
      <c r="A1" s="1" t="inlineStr">
        <is>
          <t>plan</t>
        </is>
      </c>
      <c r="B1" s="1" t="inlineStr">
        <is>
          <t>date</t>
        </is>
      </c>
      <c r="C1" s="1" t="inlineStr">
        <is>
          <t>value</t>
        </is>
      </c>
    </row>
    <row r="2">
      <c r="A2" s="2" t="inlineStr">
        <is>
          <t>A</t>
        </is>
      </c>
      <c r="B2" s="6" t="n">
        <v>39447</v>
      </c>
      <c r="C2" s="3" t="n">
        <v>13100</v>
      </c>
    </row>
    <row r="3">
      <c r="A3" s="4" t="inlineStr">
        <is>
          <t>B</t>
        </is>
      </c>
      <c r="B3" s="7" t="n">
        <v>39447</v>
      </c>
      <c r="C3" s="5" t="n">
        <v>17850</v>
      </c>
    </row>
    <row r="4">
      <c r="A4" s="2" t="inlineStr">
        <is>
          <t>C</t>
        </is>
      </c>
      <c r="B4" s="6" t="n">
        <v>39447</v>
      </c>
      <c r="C4" s="3" t="n">
        <v>16850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6" customWidth="1" min="4" max="4"/>
    <col width="20" customWidth="1" min="5" max="5"/>
    <col width="18" customWidth="1" min="6" max="6"/>
    <col width="19" customWidth="1" min="7" max="7"/>
    <col width="20" customWidth="1" min="8" max="8"/>
    <col width="20" customWidth="1" min="9" max="9"/>
    <col width="17" customWidth="1" min="10" max="10"/>
    <col width="20" customWidth="1" min="11" max="11"/>
    <col width="20" customWidth="1" min="12" max="12"/>
    <col width="22" customWidth="1" min="13" max="13"/>
    <col width="21" customWidth="1" min="14" max="14"/>
    <col width="16" customWidth="1" min="15" max="15"/>
    <col width="105" customWidth="1" min="16" max="16"/>
  </cols>
  <sheetData>
    <row r="1" ht="32" customHeight="1">
      <c r="A1" s="1" t="inlineStr">
        <is>
          <t>Plan</t>
        </is>
      </c>
      <c r="B1" s="1" t="inlineStr">
        <is>
          <t>Term cash USD</t>
        </is>
      </c>
      <c r="C1" s="1" t="inlineStr">
        <is>
          <t>Inferred effective commission factor</t>
        </is>
      </c>
      <c r="D1" s="1" t="inlineStr">
        <is>
          <t>Gross commission principal USD</t>
        </is>
      </c>
      <c r="E1" s="1" t="inlineStr">
        <is>
          <t>Commission paid USD</t>
        </is>
      </c>
      <c r="F1" s="1" t="inlineStr">
        <is>
          <t>Base fee due USD</t>
        </is>
      </c>
      <c r="G1" s="1" t="inlineStr">
        <is>
          <t>Base fee paid USD</t>
        </is>
      </c>
      <c r="H1" s="1" t="inlineStr">
        <is>
          <t>Unpaid base fee USD</t>
        </is>
      </c>
      <c r="I1" s="1" t="inlineStr">
        <is>
          <t>Expenses incurred USD</t>
        </is>
      </c>
      <c r="J1" s="1" t="inlineStr">
        <is>
          <t>Expenses paid USD</t>
        </is>
      </c>
      <c r="K1" s="1" t="inlineStr">
        <is>
          <t>Unpaid expenses USD</t>
        </is>
      </c>
      <c r="L1" s="1" t="inlineStr">
        <is>
          <t>Other principal USD</t>
        </is>
      </c>
      <c r="M1" s="1" t="inlineStr">
        <is>
          <t>Calculated principal USD</t>
        </is>
      </c>
      <c r="N1" s="1" t="inlineStr">
        <is>
          <t>Finance forecast USD</t>
        </is>
      </c>
      <c r="O1" s="1" t="inlineStr">
        <is>
          <t>Variance USD</t>
        </is>
      </c>
      <c r="P1" s="1" t="inlineStr">
        <is>
          <t>Source / method</t>
        </is>
      </c>
    </row>
    <row r="2">
      <c r="A2" s="2" t="inlineStr">
        <is>
          <t>A</t>
        </is>
      </c>
      <c r="B2" s="3" t="n">
        <v>582000</v>
      </c>
      <c r="C2" s="8" t="n">
        <v>0.05</v>
      </c>
      <c r="D2" s="3">
        <f>B2*C2</f>
        <v/>
      </c>
      <c r="E2" s="3" t="n">
        <v>16000</v>
      </c>
      <c r="F2" s="3" t="n">
        <v>20000</v>
      </c>
      <c r="G2" s="3" t="n">
        <v>20000</v>
      </c>
      <c r="H2" s="3">
        <f>F2-G2</f>
        <v/>
      </c>
      <c r="I2" s="3" t="n">
        <v>0</v>
      </c>
      <c r="J2" s="3" t="n">
        <v>0</v>
      </c>
      <c r="K2" s="3">
        <f>I2-J2</f>
        <v/>
      </c>
      <c r="L2" s="3" t="n">
        <v>0</v>
      </c>
      <c r="M2" s="3">
        <f>D2-E2+H2+K2+L2</f>
        <v/>
      </c>
      <c r="N2" s="3" t="n">
        <v>13100</v>
      </c>
      <c r="O2" s="3">
        <f>M2-N2</f>
        <v/>
      </c>
      <c r="P2" s="2" t="inlineStr">
        <is>
          <t>Term cash and commissions paid: Records.pdf pp.5-6. Four $5,000 base-fee payments: Records.pdf p.2; $20,000 fee terms: Agreement.pdf p.2. Expenses and other principal: Records.pdf pp.1-2. Early termination acceleration: Agreement.pdf p.4, Section 4F. 5% factor is implied by (forecast principal + commissions paid) / term cash; not an express rate in Agreement.pdf Section 3C. Forecast control: Records.pdf p.3, Finance forecast, Plan A.</t>
        </is>
      </c>
    </row>
    <row r="3">
      <c r="A3" s="4" t="inlineStr">
        <is>
          <t>B</t>
        </is>
      </c>
      <c r="B3" s="5" t="n">
        <v>747000</v>
      </c>
      <c r="C3" s="9" t="n">
        <v>0.05</v>
      </c>
      <c r="D3" s="5">
        <f>B3*C3</f>
        <v/>
      </c>
      <c r="E3" s="5" t="n">
        <v>19500</v>
      </c>
      <c r="F3" s="5" t="n">
        <v>20000</v>
      </c>
      <c r="G3" s="5" t="n">
        <v>20000</v>
      </c>
      <c r="H3" s="5">
        <f>F3-G3</f>
        <v/>
      </c>
      <c r="I3" s="5" t="n">
        <v>0</v>
      </c>
      <c r="J3" s="5" t="n">
        <v>0</v>
      </c>
      <c r="K3" s="5">
        <f>I3-J3</f>
        <v/>
      </c>
      <c r="L3" s="5" t="n">
        <v>0</v>
      </c>
      <c r="M3" s="5">
        <f>D3-E3+H3+K3+L3</f>
        <v/>
      </c>
      <c r="N3" s="5" t="n">
        <v>17850</v>
      </c>
      <c r="O3" s="5">
        <f>M3-N3</f>
        <v/>
      </c>
      <c r="P3" s="4" t="inlineStr">
        <is>
          <t>Term cash and commissions paid: Records.pdf pp.5-6. Four $5,000 base-fee payments: Records.pdf p.2; $20,000 fee terms: Agreement.pdf p.2. Expenses and other principal: Records.pdf pp.1-2. Early termination acceleration: Agreement.pdf p.4, Section 4F. 5% factor is implied by (forecast principal + commissions paid) / term cash; not an express rate in Agreement.pdf Section 3C. Forecast control: Records.pdf p.3, Finance forecast, Plan B.</t>
        </is>
      </c>
    </row>
    <row r="4">
      <c r="A4" s="2" t="inlineStr">
        <is>
          <t>C</t>
        </is>
      </c>
      <c r="B4" s="3" t="n">
        <v>673000</v>
      </c>
      <c r="C4" s="8" t="n">
        <v>0.05</v>
      </c>
      <c r="D4" s="3">
        <f>B4*C4</f>
        <v/>
      </c>
      <c r="E4" s="3" t="n">
        <v>16800</v>
      </c>
      <c r="F4" s="3" t="n">
        <v>20000</v>
      </c>
      <c r="G4" s="3" t="n">
        <v>20000</v>
      </c>
      <c r="H4" s="3">
        <f>F4-G4</f>
        <v/>
      </c>
      <c r="I4" s="3" t="n">
        <v>0</v>
      </c>
      <c r="J4" s="3" t="n">
        <v>0</v>
      </c>
      <c r="K4" s="3">
        <f>I4-J4</f>
        <v/>
      </c>
      <c r="L4" s="3" t="n">
        <v>0</v>
      </c>
      <c r="M4" s="3">
        <f>D4-E4+H4+K4+L4</f>
        <v/>
      </c>
      <c r="N4" s="3" t="n">
        <v>16850</v>
      </c>
      <c r="O4" s="3">
        <f>M4-N4</f>
        <v/>
      </c>
      <c r="P4" s="2" t="inlineStr">
        <is>
          <t>Term cash and commissions paid: Records.pdf pp.5-6. Four $5,000 base-fee payments: Records.pdf p.2; $20,000 fee terms: Agreement.pdf p.2. Expenses and other principal: Records.pdf pp.1-2. Early termination acceleration: Agreement.pdf p.4, Section 4F. 5% factor is implied by (forecast principal + commissions paid) / term cash; not an express rate in Agreement.pdf Section 3C. Forecast control: Records.pdf p.3, Finance forecast, Plan C.</t>
        </is>
      </c>
    </row>
    <row r="5" ht="64" customHeight="1">
      <c r="A5" s="10" t="n"/>
      <c r="B5" s="11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64" customHeight="1">
      <c r="A6" s="12" t="inlineStr">
        <is>
          <t>Calculation note</t>
        </is>
      </c>
      <c r="B6" s="11" t="inlineStr">
        <is>
          <t>Term cash = sum of the two Sponsorships term-cash amounts. Gross commission principal = term cash x 5% effective factor, where 5% is the common factor implied by the Finance forecast plus commissions already paid. Calculated principal = gross commission principal - commissions paid + unpaid base fee + unpaid expenses + other principal. Principal only; interest excluded.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4" t="inlineStr">
        <is>
          <t>Contract note</t>
        </is>
      </c>
      <c r="B7" s="4" t="inlineStr">
        <is>
          <t>Agreement.pdf p.3, Section 3C states commission is on term revenue and earned upon acceptance; p.3, Section 3D addresses commission payment timing; p.4, Section 4F accelerates unpaid Base Fees, Commissions and Expenses upon early termination. The Finance forecast is the controlling supplied amount; the 5% effective factor is a reconciliation, not a separately stated contract rate.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</sheetData>
  <mergeCells count="2">
    <mergeCell ref="B7:P7"/>
    <mergeCell ref="B5:P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2026-10-18T22:10:20Z</dcterms:created>
  <dcterms:modified xmlns:dcterms="http://purl.org/dc/terms/" xmlns:xsi="http://www.w3.org/2001/XMLSchema-instance" xsi:type="dcterms:W3CDTF">2026-10-18T22:10:20Z</dcterms:modified>
</cp:coreProperties>
</file>